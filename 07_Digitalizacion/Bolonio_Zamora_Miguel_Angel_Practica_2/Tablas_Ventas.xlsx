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4855" windowHeight="5655" activeTab="1"/>
  </bookViews>
  <sheets>
    <sheet name="Tabla1" sheetId="1" r:id="rId1"/>
    <sheet name="TablaTotal" sheetId="2" r:id="rId2"/>
  </sheets>
  <calcPr calcId="0"/>
  <pivotCaches>
    <pivotCache cacheId="2" r:id="rId3"/>
  </pivotCaches>
</workbook>
</file>

<file path=xl/calcChain.xml><?xml version="1.0" encoding="utf-8"?>
<calcChain xmlns="http://schemas.openxmlformats.org/spreadsheetml/2006/main">
  <c r="D2" i="1"/>
  <c r="D3"/>
  <c r="D4"/>
  <c r="D5"/>
  <c r="D6"/>
</calcChain>
</file>

<file path=xl/sharedStrings.xml><?xml version="1.0" encoding="utf-8"?>
<sst xmlns="http://schemas.openxmlformats.org/spreadsheetml/2006/main" count="19" uniqueCount="12">
  <si>
    <t>Mes (Col A)</t>
  </si>
  <si>
    <t>Sección (Col B)</t>
  </si>
  <si>
    <t>Ventas con Margen x1,35 (€) (Col D)</t>
  </si>
  <si>
    <t>Enero</t>
  </si>
  <si>
    <t>Frutería</t>
  </si>
  <si>
    <t>Carnicería</t>
  </si>
  <si>
    <t>Febrero</t>
  </si>
  <si>
    <t>Marzo</t>
  </si>
  <si>
    <t>Ventas Brutas (€) (Col C)</t>
  </si>
  <si>
    <t>Total general</t>
  </si>
  <si>
    <t>Sección</t>
  </si>
  <si>
    <t>Total de ventas con margen</t>
  </si>
</sst>
</file>

<file path=xl/styles.xml><?xml version="1.0" encoding="utf-8"?>
<styleSheet xmlns="http://schemas.openxmlformats.org/spreadsheetml/2006/main">
  <numFmts count="2">
    <numFmt numFmtId="8" formatCode="#,##0.00\ &quot;€&quot;;[Red]\-#,##0.00\ &quot;€&quot;"/>
    <numFmt numFmtId="164" formatCode="#,##0.00\ &quot;€&quot;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0" xfId="0" applyNumberFormat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vertical="center" readingOrder="0"/>
    </dxf>
    <dxf>
      <alignment horizontal="center" readingOrder="0"/>
    </dxf>
    <dxf>
      <numFmt numFmtId="164" formatCode="#,##0.00\ &quot;€&quot;"/>
    </dxf>
    <dxf>
      <numFmt numFmtId="12" formatCode="#,##0.00\ &quot;€&quot;;[Red]\-#,##0.00\ &quot;€&quot;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3237968875937753"/>
          <c:y val="0.19480351414406533"/>
          <c:w val="0.80084865769731539"/>
          <c:h val="0.65482210557013709"/>
        </c:manualLayout>
      </c:layout>
      <c:lineChart>
        <c:grouping val="standard"/>
        <c:ser>
          <c:idx val="0"/>
          <c:order val="0"/>
          <c:tx>
            <c:v>Ventas frutería</c:v>
          </c:tx>
          <c:cat>
            <c:strRef>
              <c:f>(Tabla1!$A$2,Tabla1!$A$4,Tabla1!$A$6)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(Tabla1!$C$2,Tabla1!$C$4,Tabla1!$C$6)</c:f>
              <c:numCache>
                <c:formatCode>#,##0.00\ "€";[Red]\-#,##0.00\ "€"</c:formatCode>
                <c:ptCount val="3"/>
                <c:pt idx="0">
                  <c:v>1100.1300000000001</c:v>
                </c:pt>
                <c:pt idx="1">
                  <c:v>1250.8900000000001</c:v>
                </c:pt>
                <c:pt idx="2">
                  <c:v>1400.68</c:v>
                </c:pt>
              </c:numCache>
            </c:numRef>
          </c:val>
        </c:ser>
        <c:ser>
          <c:idx val="1"/>
          <c:order val="1"/>
          <c:tx>
            <c:v>Ventas Carnicería</c:v>
          </c:tx>
          <c:cat>
            <c:strRef>
              <c:f>(Tabla1!$A$2,Tabla1!$A$4,Tabla1!$A$6)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(Tabla1!$C$3,Tabla1!$C$5)</c:f>
              <c:numCache>
                <c:formatCode>#,##0.00\ "€";[Red]\-#,##0.00\ "€"</c:formatCode>
                <c:ptCount val="2"/>
                <c:pt idx="0">
                  <c:v>2300.48</c:v>
                </c:pt>
                <c:pt idx="1">
                  <c:v>2100.31</c:v>
                </c:pt>
              </c:numCache>
            </c:numRef>
          </c:val>
        </c:ser>
        <c:marker val="1"/>
        <c:axId val="127476864"/>
        <c:axId val="127478400"/>
      </c:lineChart>
      <c:catAx>
        <c:axId val="127476864"/>
        <c:scaling>
          <c:orientation val="minMax"/>
        </c:scaling>
        <c:axPos val="b"/>
        <c:tickLblPos val="nextTo"/>
        <c:crossAx val="127478400"/>
        <c:crosses val="autoZero"/>
        <c:auto val="1"/>
        <c:lblAlgn val="ctr"/>
        <c:lblOffset val="100"/>
      </c:catAx>
      <c:valAx>
        <c:axId val="127478400"/>
        <c:scaling>
          <c:orientation val="minMax"/>
        </c:scaling>
        <c:axPos val="l"/>
        <c:majorGridlines/>
        <c:numFmt formatCode="#,##0.00\ &quot;€&quot;;[Red]\-#,##0.00\ &quot;€&quot;" sourceLinked="1"/>
        <c:tickLblPos val="nextTo"/>
        <c:crossAx val="12747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3079832000302782"/>
          <c:y val="1.5542112644920595E-2"/>
          <c:w val="0.28213400103229774"/>
          <c:h val="0.16979248841633329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190498</xdr:rowOff>
    </xdr:from>
    <xdr:to>
      <xdr:col>4</xdr:col>
      <xdr:colOff>742950</xdr:colOff>
      <xdr:row>21</xdr:row>
      <xdr:rowOff>38100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guel Angel" refreshedDate="46298.599210300927" createdVersion="3" refreshedVersion="3" minRefreshableVersion="3" recordCount="5">
  <cacheSource type="worksheet">
    <worksheetSource name="Tabla1[#Todo]"/>
  </cacheSource>
  <cacheFields count="4">
    <cacheField name="Mes (Col A)" numFmtId="0">
      <sharedItems/>
    </cacheField>
    <cacheField name="Sección (Col B)" numFmtId="0">
      <sharedItems count="2">
        <s v="Frutería"/>
        <s v="Carnicería"/>
      </sharedItems>
    </cacheField>
    <cacheField name="Ventas Brutas (€) (Col C)" numFmtId="8">
      <sharedItems containsSemiMixedTypes="0" containsString="0" containsNumber="1" minValue="1100.1300000000001" maxValue="2300.48"/>
    </cacheField>
    <cacheField name="Ventas con Margen x1,35 (€) (Col D)" numFmtId="164">
      <sharedItems containsSemiMixedTypes="0" containsString="0" containsNumber="1" minValue="1485.1755000000003" maxValue="3105.648000000000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s v="Enero"/>
    <x v="0"/>
    <n v="1100.1300000000001"/>
    <n v="1485.1755000000003"/>
  </r>
  <r>
    <s v="Enero"/>
    <x v="1"/>
    <n v="2300.48"/>
    <n v="3105.6480000000001"/>
  </r>
  <r>
    <s v="Febrero"/>
    <x v="0"/>
    <n v="1250.8900000000001"/>
    <n v="1688.7015000000004"/>
  </r>
  <r>
    <s v="Febrero"/>
    <x v="1"/>
    <n v="2100.31"/>
    <n v="2835.4185000000002"/>
  </r>
  <r>
    <s v="Marzo"/>
    <x v="0"/>
    <n v="1400.68"/>
    <n v="1890.918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2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rowHeaderCaption="Sección">
  <location ref="A1:B4" firstHeaderRow="1" firstDataRow="1" firstDataCol="1"/>
  <pivotFields count="4">
    <pivotField showAll="0"/>
    <pivotField axis="axisRow" showAll="0">
      <items count="3">
        <item x="1"/>
        <item x="0"/>
        <item t="default"/>
      </items>
    </pivotField>
    <pivotField numFmtId="8" showAll="0"/>
    <pivotField dataField="1" numFmtId="164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de ventas con margen" fld="3" baseField="0" baseItem="0"/>
  </dataFields>
  <formats count="5"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field="1" type="button" dataOnly="0" labelOnly="1" outline="0" axis="axisRow" fieldPosition="0"/>
    </format>
    <format dxfId="1">
      <pivotArea type="all" dataOnly="0" outline="0" fieldPosition="0"/>
    </format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1" displayName="Tabla1" ref="A1:D6" totalsRowShown="0">
  <autoFilter ref="A1:D6"/>
  <tableColumns count="4">
    <tableColumn id="1" name="Mes (Col A)"/>
    <tableColumn id="2" name="Sección (Col B)"/>
    <tableColumn id="3" name="Ventas Brutas (€) (Col C)" dataDxfId="6"/>
    <tableColumn id="4" name="Ventas con Margen x1,35 (€) (Col D)" dataDxfId="5">
      <calculatedColumnFormula>Tabla1[[#This Row],[Ventas Brutas (€) (Col C)]]*1.35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selection activeCell="H9" sqref="H9"/>
    </sheetView>
  </sheetViews>
  <sheetFormatPr baseColWidth="10" defaultRowHeight="15"/>
  <cols>
    <col min="1" max="1" width="12.5703125" customWidth="1"/>
    <col min="2" max="2" width="10.42578125" customWidth="1"/>
    <col min="3" max="3" width="16.42578125" customWidth="1"/>
    <col min="4" max="4" width="18.28515625" customWidth="1"/>
  </cols>
  <sheetData>
    <row r="1" spans="1:4" ht="37.5" customHeight="1">
      <c r="A1" s="2" t="s">
        <v>0</v>
      </c>
      <c r="B1" s="2" t="s">
        <v>1</v>
      </c>
      <c r="C1" s="2" t="s">
        <v>8</v>
      </c>
      <c r="D1" s="2" t="s">
        <v>2</v>
      </c>
    </row>
    <row r="2" spans="1:4">
      <c r="A2" t="s">
        <v>3</v>
      </c>
      <c r="B2" t="s">
        <v>4</v>
      </c>
      <c r="C2" s="1">
        <v>1100.1300000000001</v>
      </c>
      <c r="D2" s="3">
        <f>Tabla1[[#This Row],[Ventas Brutas (€) (Col C)]]*1.35</f>
        <v>1485.1755000000003</v>
      </c>
    </row>
    <row r="3" spans="1:4">
      <c r="A3" t="s">
        <v>3</v>
      </c>
      <c r="B3" t="s">
        <v>5</v>
      </c>
      <c r="C3" s="1">
        <v>2300.48</v>
      </c>
      <c r="D3" s="3">
        <f>Tabla1[[#This Row],[Ventas Brutas (€) (Col C)]]*1.35</f>
        <v>3105.6480000000001</v>
      </c>
    </row>
    <row r="4" spans="1:4">
      <c r="A4" t="s">
        <v>6</v>
      </c>
      <c r="B4" t="s">
        <v>4</v>
      </c>
      <c r="C4" s="1">
        <v>1250.8900000000001</v>
      </c>
      <c r="D4" s="3">
        <f>Tabla1[[#This Row],[Ventas Brutas (€) (Col C)]]*1.35</f>
        <v>1688.7015000000004</v>
      </c>
    </row>
    <row r="5" spans="1:4">
      <c r="A5" t="s">
        <v>6</v>
      </c>
      <c r="B5" t="s">
        <v>5</v>
      </c>
      <c r="C5" s="1">
        <v>2100.31</v>
      </c>
      <c r="D5" s="3">
        <f>Tabla1[[#This Row],[Ventas Brutas (€) (Col C)]]*1.35</f>
        <v>2835.4185000000002</v>
      </c>
    </row>
    <row r="6" spans="1:4">
      <c r="A6" t="s">
        <v>7</v>
      </c>
      <c r="B6" t="s">
        <v>4</v>
      </c>
      <c r="C6" s="1">
        <v>1400.68</v>
      </c>
      <c r="D6" s="3">
        <f>Tabla1[[#This Row],[Ventas Brutas (€) (Col C)]]*1.35</f>
        <v>1890.9180000000001</v>
      </c>
    </row>
    <row r="24" spans="9:10">
      <c r="I24" s="1"/>
      <c r="J24" s="1"/>
    </row>
    <row r="25" spans="9:10">
      <c r="I25" s="1"/>
      <c r="J25" s="1"/>
    </row>
    <row r="26" spans="9:10">
      <c r="I26" s="1"/>
      <c r="J26" s="1"/>
    </row>
    <row r="27" spans="9:10">
      <c r="I27" s="1"/>
      <c r="J27" s="1"/>
    </row>
    <row r="28" spans="9:10">
      <c r="I28" s="1"/>
      <c r="J28" s="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D14" sqref="D14"/>
    </sheetView>
  </sheetViews>
  <sheetFormatPr baseColWidth="10" defaultRowHeight="15"/>
  <cols>
    <col min="1" max="1" width="16" bestFit="1" customWidth="1"/>
    <col min="2" max="2" width="41" bestFit="1" customWidth="1"/>
  </cols>
  <sheetData>
    <row r="1" spans="1:2">
      <c r="A1" s="4" t="s">
        <v>10</v>
      </c>
      <c r="B1" s="5" t="s">
        <v>11</v>
      </c>
    </row>
    <row r="2" spans="1:2" ht="24.75" customHeight="1">
      <c r="A2" s="6" t="s">
        <v>5</v>
      </c>
      <c r="B2" s="8">
        <v>5941.0665000000008</v>
      </c>
    </row>
    <row r="3" spans="1:2" ht="21" customHeight="1">
      <c r="A3" s="6" t="s">
        <v>4</v>
      </c>
      <c r="B3" s="8">
        <v>5064.7950000000001</v>
      </c>
    </row>
    <row r="4" spans="1:2">
      <c r="A4" s="6" t="s">
        <v>9</v>
      </c>
      <c r="B4" s="7">
        <v>11005.861500000001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Tabla1</vt:lpstr>
      <vt:lpstr>TablaTotal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Miguel Angel</cp:lastModifiedBy>
  <dcterms:created xsi:type="dcterms:W3CDTF">2026-10-03T12:32:48Z</dcterms:created>
  <dcterms:modified xsi:type="dcterms:W3CDTF">2026-10-03T12:32:48Z</dcterms:modified>
</cp:coreProperties>
</file>